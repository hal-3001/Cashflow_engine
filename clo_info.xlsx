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e Shyam\Desktop\clo engine\"/>
    </mc:Choice>
  </mc:AlternateContent>
  <xr:revisionPtr revIDLastSave="0" documentId="13_ncr:1_{9FE469CB-3F9A-43F9-BD08-222755C44CF5}" xr6:coauthVersionLast="47" xr6:coauthVersionMax="47" xr10:uidLastSave="{00000000-0000-0000-0000-000000000000}"/>
  <bookViews>
    <workbookView xWindow="-98" yWindow="-98" windowWidth="19396" windowHeight="10996" activeTab="3" xr2:uid="{98100B52-054D-4B13-B3B3-6672384F3DAE}"/>
  </bookViews>
  <sheets>
    <sheet name="Tranche_info" sheetId="1" r:id="rId1"/>
    <sheet name="Principal_waterfall" sheetId="4" r:id="rId2"/>
    <sheet name="Interest_waterfall" sheetId="2" r:id="rId3"/>
    <sheet name="Coverage_t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</calcChain>
</file>

<file path=xl/sharedStrings.xml><?xml version="1.0" encoding="utf-8"?>
<sst xmlns="http://schemas.openxmlformats.org/spreadsheetml/2006/main" count="174" uniqueCount="55">
  <si>
    <t>Class</t>
  </si>
  <si>
    <t>Preliminary rating</t>
  </si>
  <si>
    <t>Overcollateralization (%)</t>
  </si>
  <si>
    <t>Par subordination (%)</t>
  </si>
  <si>
    <t>A-1</t>
  </si>
  <si>
    <t>AAA (sf)</t>
  </si>
  <si>
    <t>A-2</t>
  </si>
  <si>
    <t>B</t>
  </si>
  <si>
    <t>AA (sf)</t>
  </si>
  <si>
    <t>A (sf)</t>
  </si>
  <si>
    <t>BBB+ (sf)</t>
  </si>
  <si>
    <t>BBB (sf)</t>
  </si>
  <si>
    <t>BBB- (sf)</t>
  </si>
  <si>
    <t>BB- (sf)</t>
  </si>
  <si>
    <t>Subordinated notes</t>
  </si>
  <si>
    <t>NR</t>
  </si>
  <si>
    <t>N/A</t>
  </si>
  <si>
    <t>Residual</t>
  </si>
  <si>
    <t>Benchmark rate</t>
  </si>
  <si>
    <t>SOFR</t>
  </si>
  <si>
    <t>Spread or coupon</t>
  </si>
  <si>
    <t>Tranche type</t>
  </si>
  <si>
    <t>current_pay</t>
  </si>
  <si>
    <t>deferrable</t>
  </si>
  <si>
    <t>residual</t>
  </si>
  <si>
    <t>Actual O/C (%)</t>
  </si>
  <si>
    <t>A/B</t>
  </si>
  <si>
    <t>C</t>
  </si>
  <si>
    <t>D</t>
  </si>
  <si>
    <t>E</t>
  </si>
  <si>
    <t>Priority</t>
  </si>
  <si>
    <t>Payment</t>
  </si>
  <si>
    <t>Taxes and fees, and then administrative expenses (capped).</t>
  </si>
  <si>
    <t>To the payment of the base management fee.</t>
  </si>
  <si>
    <t>To the payment of subordinated management fees and any deferred subordinated management fees.</t>
  </si>
  <si>
    <t>20% of remaining proceeds to the incentive management fee</t>
  </si>
  <si>
    <t>Condition</t>
  </si>
  <si>
    <t>fee/must_pay</t>
  </si>
  <si>
    <t>interest</t>
  </si>
  <si>
    <t>coverage_test</t>
  </si>
  <si>
    <t>deferrable_interest</t>
  </si>
  <si>
    <t>accrued_interest</t>
  </si>
  <si>
    <t>Balance</t>
  </si>
  <si>
    <t>O/C required</t>
  </si>
  <si>
    <t>I/C required</t>
  </si>
  <si>
    <t>coverage_test_group</t>
  </si>
  <si>
    <t>Rank</t>
  </si>
  <si>
    <t>fee</t>
  </si>
  <si>
    <t>incentive</t>
  </si>
  <si>
    <t>simple_residual</t>
  </si>
  <si>
    <t>principal</t>
  </si>
  <si>
    <t>principal_deferred_interest</t>
  </si>
  <si>
    <t>D-1a</t>
  </si>
  <si>
    <t>D-1b</t>
  </si>
  <si>
    <t>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</si>
</sst>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0A0A0A"/>
      <name val="Arial"/>
      <family val="2"/>
    </font>
    <font>
      <sz val="5"/>
      <color rgb="FFB5CEA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7201-C06D-4D45-89CD-77CE8655DB41}">
  <dimension ref="A1:L13"/>
  <sheetViews>
    <sheetView zoomScale="72" workbookViewId="0">
      <selection activeCell="I5" sqref="I5:I8"/>
    </sheetView>
  </sheetViews>
  <sheetFormatPr defaultRowHeight="14.25" x14ac:dyDescent="0.45"/>
  <cols>
    <col min="1" max="1" width="8.59765625" bestFit="1" customWidth="1"/>
    <col min="2" max="2" width="8.59765625" customWidth="1"/>
    <col min="12" max="12" width="13.265625" bestFit="1" customWidth="1"/>
    <col min="13" max="13" width="11.73046875" bestFit="1" customWidth="1"/>
    <col min="14" max="15" width="9.73046875" bestFit="1" customWidth="1"/>
  </cols>
  <sheetData>
    <row r="1" spans="1:12" ht="23.65" x14ac:dyDescent="0.45">
      <c r="A1" s="1" t="s">
        <v>0</v>
      </c>
      <c r="B1" s="1" t="s">
        <v>21</v>
      </c>
      <c r="C1" s="1" t="s">
        <v>1</v>
      </c>
      <c r="D1" s="1" t="s">
        <v>42</v>
      </c>
      <c r="E1" s="1" t="s">
        <v>2</v>
      </c>
      <c r="F1" s="1" t="s">
        <v>3</v>
      </c>
      <c r="G1" s="1" t="s">
        <v>18</v>
      </c>
      <c r="H1" s="1" t="s">
        <v>20</v>
      </c>
      <c r="I1" s="1" t="s">
        <v>45</v>
      </c>
      <c r="J1" s="3" t="s">
        <v>46</v>
      </c>
    </row>
    <row r="2" spans="1:12" x14ac:dyDescent="0.45">
      <c r="A2" s="2" t="s">
        <v>4</v>
      </c>
      <c r="B2" s="2" t="s">
        <v>22</v>
      </c>
      <c r="C2" s="2" t="s">
        <v>5</v>
      </c>
      <c r="D2" s="2">
        <v>330000000</v>
      </c>
      <c r="E2" s="2">
        <v>166.67</v>
      </c>
      <c r="F2" s="2">
        <v>40</v>
      </c>
      <c r="G2" s="2" t="s">
        <v>19</v>
      </c>
      <c r="H2" s="2">
        <v>1.35</v>
      </c>
      <c r="I2" s="2" t="s">
        <v>26</v>
      </c>
      <c r="J2" s="2">
        <v>1</v>
      </c>
    </row>
    <row r="3" spans="1:12" x14ac:dyDescent="0.45">
      <c r="A3" s="2" t="s">
        <v>6</v>
      </c>
      <c r="B3" s="2" t="s">
        <v>22</v>
      </c>
      <c r="C3" s="2" t="s">
        <v>5</v>
      </c>
      <c r="D3" s="2">
        <v>27500000</v>
      </c>
      <c r="E3" s="2">
        <v>153.85</v>
      </c>
      <c r="F3" s="2">
        <v>35</v>
      </c>
      <c r="G3" s="2" t="s">
        <v>19</v>
      </c>
      <c r="H3" s="2">
        <v>1.6500000000000001</v>
      </c>
      <c r="I3" s="2" t="s">
        <v>26</v>
      </c>
      <c r="J3" s="2">
        <v>1</v>
      </c>
    </row>
    <row r="4" spans="1:12" x14ac:dyDescent="0.45">
      <c r="A4" s="2" t="s">
        <v>7</v>
      </c>
      <c r="B4" s="2" t="s">
        <v>22</v>
      </c>
      <c r="C4" s="2" t="s">
        <v>8</v>
      </c>
      <c r="D4" s="2">
        <v>60500000</v>
      </c>
      <c r="E4" s="2">
        <v>131.58000000000001</v>
      </c>
      <c r="F4" s="2">
        <v>24</v>
      </c>
      <c r="G4" s="2" t="s">
        <v>19</v>
      </c>
      <c r="H4" s="2">
        <v>1.7500000000000002</v>
      </c>
      <c r="I4" s="2" t="s">
        <v>26</v>
      </c>
      <c r="J4" s="2">
        <v>1</v>
      </c>
    </row>
    <row r="5" spans="1:12" x14ac:dyDescent="0.45">
      <c r="A5" s="2" t="s">
        <v>27</v>
      </c>
      <c r="B5" s="2" t="s">
        <v>23</v>
      </c>
      <c r="C5" s="2" t="s">
        <v>9</v>
      </c>
      <c r="D5" s="2">
        <v>33000000</v>
      </c>
      <c r="E5" s="2">
        <v>121.95</v>
      </c>
      <c r="F5" s="2">
        <v>18</v>
      </c>
      <c r="G5" s="2" t="s">
        <v>19</v>
      </c>
      <c r="H5" s="2">
        <v>2.0499999999999998</v>
      </c>
      <c r="I5" s="2" t="s">
        <v>27</v>
      </c>
      <c r="J5" s="2">
        <v>2</v>
      </c>
    </row>
    <row r="6" spans="1:12" x14ac:dyDescent="0.45">
      <c r="A6" s="2" t="s">
        <v>52</v>
      </c>
      <c r="B6" s="2" t="s">
        <v>23</v>
      </c>
      <c r="C6" s="2" t="s">
        <v>10</v>
      </c>
      <c r="D6" s="2">
        <v>16500000</v>
      </c>
      <c r="E6" s="2">
        <v>117.65</v>
      </c>
      <c r="F6" s="2">
        <v>15</v>
      </c>
      <c r="G6" s="2" t="s">
        <v>19</v>
      </c>
      <c r="H6" s="2">
        <v>2.85</v>
      </c>
      <c r="I6" s="2" t="s">
        <v>28</v>
      </c>
      <c r="J6" s="2">
        <v>3</v>
      </c>
    </row>
    <row r="7" spans="1:12" x14ac:dyDescent="0.45">
      <c r="A7" s="2" t="s">
        <v>53</v>
      </c>
      <c r="B7" s="2" t="s">
        <v>23</v>
      </c>
      <c r="C7" s="2" t="s">
        <v>11</v>
      </c>
      <c r="D7" s="2">
        <v>11000000</v>
      </c>
      <c r="E7" s="2">
        <v>114.94</v>
      </c>
      <c r="F7" s="2">
        <v>13</v>
      </c>
      <c r="G7" s="2" t="s">
        <v>19</v>
      </c>
      <c r="H7" s="2">
        <v>3.35</v>
      </c>
      <c r="I7" s="2" t="s">
        <v>28</v>
      </c>
      <c r="J7" s="2">
        <v>3</v>
      </c>
    </row>
    <row r="8" spans="1:12" x14ac:dyDescent="0.45">
      <c r="A8" s="2" t="s">
        <v>54</v>
      </c>
      <c r="B8" s="2" t="s">
        <v>23</v>
      </c>
      <c r="C8" s="2" t="s">
        <v>12</v>
      </c>
      <c r="D8" s="2">
        <v>8250000</v>
      </c>
      <c r="E8" s="2">
        <v>112.99</v>
      </c>
      <c r="F8" s="2">
        <v>11.5</v>
      </c>
      <c r="G8" s="2" t="s">
        <v>19</v>
      </c>
      <c r="H8" s="2">
        <v>4.1500000000000004</v>
      </c>
      <c r="I8" s="2" t="s">
        <v>28</v>
      </c>
      <c r="J8" s="2">
        <v>3</v>
      </c>
    </row>
    <row r="9" spans="1:12" x14ac:dyDescent="0.45">
      <c r="A9" s="2" t="s">
        <v>29</v>
      </c>
      <c r="B9" s="2" t="s">
        <v>23</v>
      </c>
      <c r="C9" s="2" t="s">
        <v>13</v>
      </c>
      <c r="D9" s="2">
        <v>19250000</v>
      </c>
      <c r="E9" s="2">
        <v>108.7</v>
      </c>
      <c r="F9" s="2">
        <v>8</v>
      </c>
      <c r="G9" s="2" t="s">
        <v>19</v>
      </c>
      <c r="H9" s="2">
        <v>5.85</v>
      </c>
      <c r="I9" s="2" t="s">
        <v>29</v>
      </c>
      <c r="J9" s="2">
        <v>4</v>
      </c>
    </row>
    <row r="10" spans="1:12" ht="15" x14ac:dyDescent="0.45">
      <c r="A10" s="2" t="s">
        <v>14</v>
      </c>
      <c r="B10" s="2" t="s">
        <v>24</v>
      </c>
      <c r="C10" s="2" t="s">
        <v>15</v>
      </c>
      <c r="D10" s="2">
        <v>48980000</v>
      </c>
      <c r="E10" s="2" t="s">
        <v>16</v>
      </c>
      <c r="F10" s="2" t="s">
        <v>16</v>
      </c>
      <c r="G10" s="2" t="s">
        <v>16</v>
      </c>
      <c r="H10" s="2" t="s">
        <v>17</v>
      </c>
      <c r="I10" s="2" t="s">
        <v>16</v>
      </c>
      <c r="J10" s="2" t="s">
        <v>16</v>
      </c>
    </row>
    <row r="11" spans="1:12" ht="37.5" x14ac:dyDescent="0.45">
      <c r="A11" s="2" t="s">
        <v>32</v>
      </c>
      <c r="B11" s="2" t="s">
        <v>47</v>
      </c>
      <c r="C11" s="2" t="s">
        <v>16</v>
      </c>
      <c r="D11" s="2" t="s">
        <v>16</v>
      </c>
      <c r="E11" s="2" t="s">
        <v>16</v>
      </c>
      <c r="F11" s="2" t="s">
        <v>16</v>
      </c>
      <c r="G11" s="2" t="s">
        <v>16</v>
      </c>
      <c r="H11" s="2">
        <f>(0.25/4)/100</f>
        <v>6.2500000000000001E-4</v>
      </c>
      <c r="I11" s="2" t="s">
        <v>16</v>
      </c>
      <c r="J11" s="2" t="s">
        <v>16</v>
      </c>
    </row>
    <row r="12" spans="1:12" ht="30" x14ac:dyDescent="0.45">
      <c r="A12" s="2" t="s">
        <v>33</v>
      </c>
      <c r="B12" s="2" t="s">
        <v>47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  <c r="H12" s="2">
        <f>(0.25/4)/100</f>
        <v>6.2500000000000001E-4</v>
      </c>
      <c r="I12" s="2" t="s">
        <v>16</v>
      </c>
      <c r="J12" s="2" t="s">
        <v>16</v>
      </c>
      <c r="L12" s="4"/>
    </row>
    <row r="13" spans="1:12" ht="60" x14ac:dyDescent="0.45">
      <c r="A13" s="2" t="s">
        <v>34</v>
      </c>
      <c r="B13" s="2" t="s">
        <v>47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>
        <f>(0.25/4)/100</f>
        <v>6.2500000000000001E-4</v>
      </c>
      <c r="I13" s="2" t="s">
        <v>16</v>
      </c>
      <c r="J13" s="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7D87-7DE8-4D49-A52A-3968C8E0E48B}">
  <dimension ref="A1:C15"/>
  <sheetViews>
    <sheetView workbookViewId="0">
      <selection activeCell="C15" sqref="C15"/>
    </sheetView>
  </sheetViews>
  <sheetFormatPr defaultRowHeight="14.25" x14ac:dyDescent="0.45"/>
  <sheetData>
    <row r="1" spans="1:3" x14ac:dyDescent="0.45">
      <c r="A1" s="1" t="s">
        <v>30</v>
      </c>
      <c r="B1" s="1" t="s">
        <v>31</v>
      </c>
      <c r="C1" s="1" t="s">
        <v>36</v>
      </c>
    </row>
    <row r="2" spans="1:3" x14ac:dyDescent="0.45">
      <c r="A2" s="2">
        <v>1</v>
      </c>
      <c r="B2" s="2" t="s">
        <v>4</v>
      </c>
      <c r="C2" s="2" t="s">
        <v>50</v>
      </c>
    </row>
    <row r="3" spans="1:3" ht="15" x14ac:dyDescent="0.45">
      <c r="A3" s="2">
        <v>2</v>
      </c>
      <c r="B3" s="2" t="s">
        <v>6</v>
      </c>
      <c r="C3" s="2" t="s">
        <v>50</v>
      </c>
    </row>
    <row r="4" spans="1:3" x14ac:dyDescent="0.45">
      <c r="A4" s="2">
        <v>3</v>
      </c>
      <c r="B4" s="2" t="s">
        <v>7</v>
      </c>
      <c r="C4" s="2" t="s">
        <v>50</v>
      </c>
    </row>
    <row r="5" spans="1:3" ht="15" x14ac:dyDescent="0.45">
      <c r="A5" s="2">
        <v>4</v>
      </c>
      <c r="B5" s="2" t="s">
        <v>27</v>
      </c>
      <c r="C5" s="2" t="s">
        <v>51</v>
      </c>
    </row>
    <row r="6" spans="1:3" x14ac:dyDescent="0.45">
      <c r="A6" s="2">
        <v>5</v>
      </c>
      <c r="B6" s="2" t="s">
        <v>27</v>
      </c>
      <c r="C6" s="2" t="s">
        <v>38</v>
      </c>
    </row>
    <row r="7" spans="1:3" ht="15" x14ac:dyDescent="0.45">
      <c r="A7" s="2">
        <v>6</v>
      </c>
      <c r="B7" s="2" t="s">
        <v>52</v>
      </c>
      <c r="C7" s="2" t="s">
        <v>51</v>
      </c>
    </row>
    <row r="8" spans="1:3" x14ac:dyDescent="0.45">
      <c r="A8" s="2">
        <v>7</v>
      </c>
      <c r="B8" s="2" t="s">
        <v>52</v>
      </c>
      <c r="C8" s="2" t="s">
        <v>38</v>
      </c>
    </row>
    <row r="9" spans="1:3" ht="15" x14ac:dyDescent="0.45">
      <c r="A9" s="2">
        <v>8</v>
      </c>
      <c r="B9" s="2" t="s">
        <v>53</v>
      </c>
      <c r="C9" s="2" t="s">
        <v>51</v>
      </c>
    </row>
    <row r="10" spans="1:3" x14ac:dyDescent="0.45">
      <c r="A10" s="2">
        <v>9</v>
      </c>
      <c r="B10" s="2" t="s">
        <v>53</v>
      </c>
      <c r="C10" s="2" t="s">
        <v>38</v>
      </c>
    </row>
    <row r="11" spans="1:3" ht="15" x14ac:dyDescent="0.45">
      <c r="A11" s="2">
        <v>10</v>
      </c>
      <c r="B11" s="2" t="s">
        <v>54</v>
      </c>
      <c r="C11" s="2" t="s">
        <v>51</v>
      </c>
    </row>
    <row r="12" spans="1:3" x14ac:dyDescent="0.45">
      <c r="A12" s="2">
        <v>11</v>
      </c>
      <c r="B12" s="2" t="s">
        <v>54</v>
      </c>
      <c r="C12" s="2" t="s">
        <v>38</v>
      </c>
    </row>
    <row r="13" spans="1:3" ht="15" x14ac:dyDescent="0.45">
      <c r="A13" s="2">
        <v>12</v>
      </c>
      <c r="B13" s="2" t="s">
        <v>29</v>
      </c>
      <c r="C13" s="2" t="s">
        <v>51</v>
      </c>
    </row>
    <row r="14" spans="1:3" x14ac:dyDescent="0.45">
      <c r="A14" s="2">
        <v>13</v>
      </c>
      <c r="B14" s="2" t="s">
        <v>29</v>
      </c>
      <c r="C14" s="2" t="s">
        <v>38</v>
      </c>
    </row>
    <row r="15" spans="1:3" ht="15" x14ac:dyDescent="0.45">
      <c r="A15" s="2">
        <v>14</v>
      </c>
      <c r="B15" s="2" t="s">
        <v>14</v>
      </c>
      <c r="C15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FBDA-B398-4DF6-9353-3440F5D719D0}">
  <dimension ref="A1:C24"/>
  <sheetViews>
    <sheetView topLeftCell="A5" zoomScale="98" workbookViewId="0">
      <selection activeCell="B14" sqref="B14"/>
    </sheetView>
  </sheetViews>
  <sheetFormatPr defaultRowHeight="14.25" x14ac:dyDescent="0.45"/>
  <sheetData>
    <row r="1" spans="1:3" x14ac:dyDescent="0.45">
      <c r="A1" s="1" t="s">
        <v>30</v>
      </c>
      <c r="B1" s="1" t="s">
        <v>31</v>
      </c>
      <c r="C1" s="1" t="s">
        <v>36</v>
      </c>
    </row>
    <row r="2" spans="1:3" ht="37.5" x14ac:dyDescent="0.45">
      <c r="A2" s="2">
        <v>1</v>
      </c>
      <c r="B2" s="2" t="s">
        <v>32</v>
      </c>
      <c r="C2" s="2" t="s">
        <v>37</v>
      </c>
    </row>
    <row r="3" spans="1:3" ht="22.5" x14ac:dyDescent="0.45">
      <c r="A3" s="2">
        <v>2</v>
      </c>
      <c r="B3" s="2" t="s">
        <v>33</v>
      </c>
      <c r="C3" s="2" t="s">
        <v>37</v>
      </c>
    </row>
    <row r="4" spans="1:3" x14ac:dyDescent="0.45">
      <c r="A4" s="2">
        <v>3</v>
      </c>
      <c r="B4" s="2" t="s">
        <v>4</v>
      </c>
      <c r="C4" s="2" t="s">
        <v>38</v>
      </c>
    </row>
    <row r="5" spans="1:3" x14ac:dyDescent="0.45">
      <c r="A5" s="2">
        <v>4</v>
      </c>
      <c r="B5" s="2" t="s">
        <v>6</v>
      </c>
      <c r="C5" s="2" t="s">
        <v>38</v>
      </c>
    </row>
    <row r="6" spans="1:3" x14ac:dyDescent="0.45">
      <c r="A6" s="2">
        <v>5</v>
      </c>
      <c r="B6" s="2" t="s">
        <v>7</v>
      </c>
      <c r="C6" s="2" t="s">
        <v>38</v>
      </c>
    </row>
    <row r="7" spans="1:3" x14ac:dyDescent="0.45">
      <c r="A7" s="2">
        <v>6</v>
      </c>
      <c r="B7" s="2" t="s">
        <v>26</v>
      </c>
      <c r="C7" s="2" t="s">
        <v>39</v>
      </c>
    </row>
    <row r="8" spans="1:3" ht="15" x14ac:dyDescent="0.45">
      <c r="A8" s="2">
        <v>7</v>
      </c>
      <c r="B8" s="2" t="s">
        <v>27</v>
      </c>
      <c r="C8" s="2" t="s">
        <v>40</v>
      </c>
    </row>
    <row r="9" spans="1:3" x14ac:dyDescent="0.45">
      <c r="A9" s="2">
        <v>8</v>
      </c>
      <c r="B9" s="2" t="s">
        <v>27</v>
      </c>
      <c r="C9" s="2" t="s">
        <v>39</v>
      </c>
    </row>
    <row r="10" spans="1:3" x14ac:dyDescent="0.45">
      <c r="A10" s="2">
        <v>9</v>
      </c>
      <c r="B10" s="2" t="s">
        <v>27</v>
      </c>
      <c r="C10" s="2" t="s">
        <v>41</v>
      </c>
    </row>
    <row r="11" spans="1:3" ht="15" x14ac:dyDescent="0.45">
      <c r="A11" s="2">
        <v>10</v>
      </c>
      <c r="B11" s="2" t="s">
        <v>52</v>
      </c>
      <c r="C11" s="2" t="s">
        <v>40</v>
      </c>
    </row>
    <row r="12" spans="1:3" ht="15" x14ac:dyDescent="0.45">
      <c r="A12" s="2">
        <v>11</v>
      </c>
      <c r="B12" s="2" t="s">
        <v>53</v>
      </c>
      <c r="C12" s="2" t="s">
        <v>40</v>
      </c>
    </row>
    <row r="13" spans="1:3" ht="15" x14ac:dyDescent="0.45">
      <c r="A13" s="2">
        <v>12</v>
      </c>
      <c r="B13" s="2" t="s">
        <v>54</v>
      </c>
      <c r="C13" s="2" t="s">
        <v>40</v>
      </c>
    </row>
    <row r="14" spans="1:3" x14ac:dyDescent="0.45">
      <c r="A14" s="2">
        <v>13</v>
      </c>
      <c r="B14" s="2" t="s">
        <v>28</v>
      </c>
      <c r="C14" s="2" t="s">
        <v>39</v>
      </c>
    </row>
    <row r="15" spans="1:3" x14ac:dyDescent="0.45">
      <c r="A15" s="2">
        <v>14</v>
      </c>
      <c r="B15" s="2" t="s">
        <v>52</v>
      </c>
      <c r="C15" s="2" t="s">
        <v>41</v>
      </c>
    </row>
    <row r="16" spans="1:3" x14ac:dyDescent="0.45">
      <c r="A16" s="2">
        <v>15</v>
      </c>
      <c r="B16" s="2" t="s">
        <v>53</v>
      </c>
      <c r="C16" s="2" t="s">
        <v>41</v>
      </c>
    </row>
    <row r="17" spans="1:3" x14ac:dyDescent="0.45">
      <c r="A17" s="2">
        <v>16</v>
      </c>
      <c r="B17" s="2" t="s">
        <v>54</v>
      </c>
      <c r="C17" s="2" t="s">
        <v>41</v>
      </c>
    </row>
    <row r="18" spans="1:3" ht="15" x14ac:dyDescent="0.45">
      <c r="A18" s="2">
        <v>17</v>
      </c>
      <c r="B18" s="2" t="s">
        <v>29</v>
      </c>
      <c r="C18" s="2" t="s">
        <v>40</v>
      </c>
    </row>
    <row r="19" spans="1:3" x14ac:dyDescent="0.45">
      <c r="A19" s="2">
        <v>18</v>
      </c>
      <c r="B19" s="2" t="s">
        <v>29</v>
      </c>
      <c r="C19" s="2" t="s">
        <v>39</v>
      </c>
    </row>
    <row r="20" spans="1:3" x14ac:dyDescent="0.45">
      <c r="A20" s="2">
        <v>19</v>
      </c>
      <c r="B20" s="2" t="s">
        <v>29</v>
      </c>
      <c r="C20" s="2" t="s">
        <v>41</v>
      </c>
    </row>
    <row r="21" spans="1:3" ht="52.5" x14ac:dyDescent="0.45">
      <c r="A21" s="2">
        <v>20</v>
      </c>
      <c r="B21" s="2" t="s">
        <v>34</v>
      </c>
      <c r="C21" s="2" t="s">
        <v>37</v>
      </c>
    </row>
    <row r="22" spans="1:3" ht="15" x14ac:dyDescent="0.45">
      <c r="A22" s="2">
        <v>21</v>
      </c>
      <c r="B22" s="2" t="s">
        <v>14</v>
      </c>
      <c r="C22" s="2" t="s">
        <v>24</v>
      </c>
    </row>
    <row r="23" spans="1:3" ht="30" x14ac:dyDescent="0.45">
      <c r="A23" s="2">
        <v>22</v>
      </c>
      <c r="B23" s="2" t="s">
        <v>35</v>
      </c>
      <c r="C23" s="2" t="s">
        <v>48</v>
      </c>
    </row>
    <row r="24" spans="1:3" ht="15" x14ac:dyDescent="0.45">
      <c r="A24" s="2">
        <v>23</v>
      </c>
      <c r="B24" s="2" t="s">
        <v>14</v>
      </c>
      <c r="C24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B47A-7320-44F7-A534-1249D439E1B3}">
  <dimension ref="A1:D5"/>
  <sheetViews>
    <sheetView tabSelected="1" workbookViewId="0">
      <selection activeCell="B11" sqref="B11"/>
    </sheetView>
  </sheetViews>
  <sheetFormatPr defaultRowHeight="14.25" x14ac:dyDescent="0.45"/>
  <sheetData>
    <row r="1" spans="1:4" x14ac:dyDescent="0.45">
      <c r="A1" s="1" t="s">
        <v>0</v>
      </c>
      <c r="B1" s="1" t="s">
        <v>25</v>
      </c>
      <c r="C1" s="1" t="s">
        <v>43</v>
      </c>
      <c r="D1" s="1" t="s">
        <v>44</v>
      </c>
    </row>
    <row r="2" spans="1:4" x14ac:dyDescent="0.45">
      <c r="A2" s="2" t="s">
        <v>26</v>
      </c>
      <c r="B2" s="2">
        <v>131.58000000000001</v>
      </c>
      <c r="C2" s="2">
        <v>121.58</v>
      </c>
      <c r="D2" s="2">
        <v>120</v>
      </c>
    </row>
    <row r="3" spans="1:4" x14ac:dyDescent="0.45">
      <c r="A3" s="2" t="s">
        <v>27</v>
      </c>
      <c r="B3" s="2">
        <v>121.95</v>
      </c>
      <c r="C3" s="2">
        <v>113.95</v>
      </c>
      <c r="D3" s="2">
        <v>115</v>
      </c>
    </row>
    <row r="4" spans="1:4" x14ac:dyDescent="0.45">
      <c r="A4" s="2" t="s">
        <v>28</v>
      </c>
      <c r="B4" s="2">
        <v>112.99</v>
      </c>
      <c r="C4" s="2">
        <v>106.99</v>
      </c>
      <c r="D4" s="2">
        <v>110</v>
      </c>
    </row>
    <row r="5" spans="1:4" x14ac:dyDescent="0.45">
      <c r="A5" s="2" t="s">
        <v>29</v>
      </c>
      <c r="B5" s="2">
        <v>108.7</v>
      </c>
      <c r="C5" s="2">
        <v>103.7</v>
      </c>
      <c r="D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Tranche_info</vt:lpstr>
      <vt:lpstr>Principal_waterfall</vt:lpstr>
      <vt:lpstr>Interest_waterfall</vt:lpstr>
      <vt:lpstr>Coverage_test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radheshyam chitturi</dc:creator>
  <cp:lastModifiedBy>radheshyam chitturi</cp:lastModifiedBy>
  <dcterms:created xsi:type="dcterms:W3CDTF">2025-11-18T06:29:37Z</dcterms:created>
  <dcterms:modified xsi:type="dcterms:W3CDTF">2025-12-14T11:03:50Z</dcterms:modified>
</cp:coreProperties>
</file>